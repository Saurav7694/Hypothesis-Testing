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EF5ABC8DCF925511/Documents/"/>
    </mc:Choice>
  </mc:AlternateContent>
  <xr:revisionPtr revIDLastSave="0" documentId="8_{F3FCB486-012E-4B03-8901-9B04FC36048A}" xr6:coauthVersionLast="47" xr6:coauthVersionMax="47" xr10:uidLastSave="{00000000-0000-0000-0000-000000000000}"/>
  <bookViews>
    <workbookView xWindow="-108" yWindow="-108" windowWidth="23256" windowHeight="12456" firstSheet="1" activeTab="1" xr2:uid="{86A71DA1-E648-4132-B571-8DDFCC6127ED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D18" i="2"/>
  <c r="D19" i="2"/>
  <c r="D16" i="2"/>
  <c r="B11" i="2"/>
  <c r="B10" i="2"/>
  <c r="B9" i="2"/>
  <c r="B8" i="2"/>
  <c r="B20" i="1"/>
  <c r="B19" i="1"/>
  <c r="C14" i="1"/>
  <c r="C9" i="1"/>
  <c r="D6" i="1" s="1"/>
  <c r="C3" i="1"/>
  <c r="C4" i="1"/>
  <c r="C5" i="1"/>
  <c r="C6" i="1"/>
  <c r="C7" i="1"/>
  <c r="C2" i="1"/>
  <c r="D5" i="1" l="1"/>
  <c r="D4" i="1"/>
  <c r="D3" i="1"/>
  <c r="D2" i="1"/>
  <c r="D7" i="1"/>
</calcChain>
</file>

<file path=xl/sharedStrings.xml><?xml version="1.0" encoding="utf-8"?>
<sst xmlns="http://schemas.openxmlformats.org/spreadsheetml/2006/main" count="44" uniqueCount="41">
  <si>
    <t>Before</t>
  </si>
  <si>
    <t>After</t>
  </si>
  <si>
    <t>d=after-before</t>
  </si>
  <si>
    <t>d-a</t>
  </si>
  <si>
    <t>d=</t>
  </si>
  <si>
    <r>
      <t>sd=</t>
    </r>
    <r>
      <rPr>
        <sz val="11"/>
        <color theme="1"/>
        <rFont val="Verdana"/>
        <family val="2"/>
      </rPr>
      <t>√16/n-1</t>
    </r>
  </si>
  <si>
    <t>√16/5</t>
  </si>
  <si>
    <t>√3.2</t>
  </si>
  <si>
    <t>t statstics</t>
  </si>
  <si>
    <t>t=d/sd/√n</t>
  </si>
  <si>
    <t>3/1.789/√6</t>
  </si>
  <si>
    <t>df=n-1=5</t>
  </si>
  <si>
    <t>t0.05=2.015</t>
  </si>
  <si>
    <t>t=4.11&gt;2.015</t>
  </si>
  <si>
    <t>reject hypothesis</t>
  </si>
  <si>
    <t>Gender</t>
  </si>
  <si>
    <t>product a</t>
  </si>
  <si>
    <t>productb</t>
  </si>
  <si>
    <t>total</t>
  </si>
  <si>
    <t xml:space="preserve">male </t>
  </si>
  <si>
    <t>female</t>
  </si>
  <si>
    <t>E=(row total *coloumn total)/grand total</t>
  </si>
  <si>
    <t>Male A</t>
  </si>
  <si>
    <t>Male B</t>
  </si>
  <si>
    <t>FemaleA</t>
  </si>
  <si>
    <t>FemaleB</t>
  </si>
  <si>
    <t>O</t>
  </si>
  <si>
    <t>E</t>
  </si>
  <si>
    <t>(O-E)</t>
  </si>
  <si>
    <t>(O-E)*2</t>
  </si>
  <si>
    <t>√(O-E)*2/E</t>
  </si>
  <si>
    <t>male a</t>
  </si>
  <si>
    <t>maleb</t>
  </si>
  <si>
    <t>female a</t>
  </si>
  <si>
    <t>female b</t>
  </si>
  <si>
    <t>xˆ2=5+3.33+5+3.33=16.66</t>
  </si>
  <si>
    <t>row with data= male,female=2</t>
  </si>
  <si>
    <t>coloum with data =product a,product b</t>
  </si>
  <si>
    <t>df=(2-1)*(2-1)=1</t>
  </si>
  <si>
    <t>At a=0.05 and df=1</t>
  </si>
  <si>
    <t>16.66&gt;3.84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</si>
</sst>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457200</xdr:colOff>
      <xdr:row>11</xdr:row>
      <xdr:rowOff>41910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6921C4-DA9C-3E91-DF20-E82BFD4D70BC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50A3-06D0-4029-8BE9-D3E1C422BAB1}">
  <dimension ref="A1:E25"/>
  <sheetViews>
    <sheetView topLeftCell="A42" workbookViewId="0">
      <selection activeCell="E17" sqref="E17"/>
    </sheetView>
  </sheetViews>
  <sheetFormatPr defaultRowHeight="14.45"/>
  <cols>
    <col min="3" max="4" width="12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0</v>
      </c>
    </row>
    <row r="2" spans="1:5" ht="15">
      <c r="A2">
        <v>50</v>
      </c>
      <c r="B2">
        <v>55</v>
      </c>
      <c r="C2">
        <f>B2-A2</f>
        <v>5</v>
      </c>
      <c r="D2">
        <f>C2-$C$9</f>
        <v>2</v>
      </c>
      <c r="E2">
        <v>60</v>
      </c>
    </row>
    <row r="3" spans="1:5" ht="15">
      <c r="A3">
        <v>60</v>
      </c>
      <c r="B3">
        <v>65</v>
      </c>
      <c r="C3">
        <f t="shared" ref="C3:C7" si="0">B3-A3</f>
        <v>5</v>
      </c>
      <c r="D3">
        <f>C3-$C$9</f>
        <v>2</v>
      </c>
      <c r="E3">
        <v>70</v>
      </c>
    </row>
    <row r="4" spans="1:5" ht="15">
      <c r="A4">
        <v>58</v>
      </c>
      <c r="B4">
        <v>59</v>
      </c>
      <c r="C4">
        <f t="shared" si="0"/>
        <v>1</v>
      </c>
      <c r="D4">
        <f>C4-$C$9</f>
        <v>-2</v>
      </c>
      <c r="E4">
        <v>60</v>
      </c>
    </row>
    <row r="5" spans="1:5" ht="15">
      <c r="A5">
        <v>55</v>
      </c>
      <c r="B5">
        <v>58</v>
      </c>
      <c r="C5">
        <f t="shared" si="0"/>
        <v>3</v>
      </c>
      <c r="D5">
        <f>C5-$C$9</f>
        <v>0</v>
      </c>
      <c r="E5">
        <v>61</v>
      </c>
    </row>
    <row r="6" spans="1:5" ht="15">
      <c r="A6">
        <v>62</v>
      </c>
      <c r="B6">
        <v>63</v>
      </c>
      <c r="C6">
        <f t="shared" si="0"/>
        <v>1</v>
      </c>
      <c r="D6">
        <f>C6-$C$9</f>
        <v>-2</v>
      </c>
      <c r="E6">
        <v>64</v>
      </c>
    </row>
    <row r="7" spans="1:5" ht="15">
      <c r="A7">
        <v>56</v>
      </c>
      <c r="B7">
        <v>59</v>
      </c>
      <c r="C7">
        <f t="shared" si="0"/>
        <v>3</v>
      </c>
      <c r="D7">
        <f>C7-$C$9</f>
        <v>0</v>
      </c>
      <c r="E7">
        <v>62</v>
      </c>
    </row>
    <row r="9" spans="1:5">
      <c r="B9" s="1" t="s">
        <v>4</v>
      </c>
      <c r="C9" s="2">
        <f>AVERAGE(C2:C7)</f>
        <v>3</v>
      </c>
    </row>
    <row r="11" spans="1:5">
      <c r="C11" t="s">
        <v>5</v>
      </c>
    </row>
    <row r="12" spans="1:5">
      <c r="C12" t="s">
        <v>6</v>
      </c>
    </row>
    <row r="13" spans="1:5">
      <c r="C13" t="s">
        <v>7</v>
      </c>
    </row>
    <row r="14" spans="1:5">
      <c r="C14">
        <f>1.789</f>
        <v>1.7889999999999999</v>
      </c>
    </row>
    <row r="16" spans="1:5">
      <c r="B16" t="s">
        <v>8</v>
      </c>
    </row>
    <row r="17" spans="2:2">
      <c r="B17" t="s">
        <v>9</v>
      </c>
    </row>
    <row r="18" spans="2:2">
      <c r="B18" t="s">
        <v>10</v>
      </c>
    </row>
    <row r="19" spans="2:2">
      <c r="B19">
        <f>3/0.73</f>
        <v>4.1095890410958908</v>
      </c>
    </row>
    <row r="20" spans="2:2">
      <c r="B20">
        <f>4.11</f>
        <v>4.1100000000000003</v>
      </c>
    </row>
    <row r="22" spans="2:2">
      <c r="B22" t="s">
        <v>11</v>
      </c>
    </row>
    <row r="23" spans="2:2">
      <c r="B23" t="s">
        <v>12</v>
      </c>
    </row>
    <row r="24" spans="2:2">
      <c r="B24" t="s">
        <v>13</v>
      </c>
    </row>
    <row r="25" spans="2:2">
      <c r="B2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2274-5118-450E-9A58-B40B3AFC7018}">
  <dimension ref="A1:F28"/>
  <sheetViews>
    <sheetView tabSelected="1" topLeftCell="A11" workbookViewId="0">
      <selection activeCell="I15" sqref="I15"/>
    </sheetView>
  </sheetViews>
  <sheetFormatPr defaultRowHeight="14.45"/>
  <cols>
    <col min="4" max="4" width="10" bestFit="1" customWidth="1"/>
  </cols>
  <sheetData>
    <row r="1" spans="1:6">
      <c r="A1" t="s">
        <v>15</v>
      </c>
      <c r="B1" t="s">
        <v>16</v>
      </c>
      <c r="C1" t="s">
        <v>17</v>
      </c>
      <c r="D1" t="s">
        <v>18</v>
      </c>
    </row>
    <row r="2" spans="1:6">
      <c r="A2" t="s">
        <v>19</v>
      </c>
      <c r="B2">
        <v>30</v>
      </c>
      <c r="C2">
        <v>20</v>
      </c>
      <c r="D2">
        <v>50</v>
      </c>
    </row>
    <row r="3" spans="1:6">
      <c r="A3" t="s">
        <v>20</v>
      </c>
      <c r="B3">
        <v>10</v>
      </c>
      <c r="C3">
        <v>40</v>
      </c>
      <c r="D3">
        <v>50</v>
      </c>
    </row>
    <row r="4" spans="1:6">
      <c r="A4" t="s">
        <v>18</v>
      </c>
      <c r="B4">
        <v>40</v>
      </c>
      <c r="C4">
        <v>60</v>
      </c>
      <c r="D4">
        <v>100</v>
      </c>
    </row>
    <row r="7" spans="1:6">
      <c r="B7" t="s">
        <v>21</v>
      </c>
    </row>
    <row r="8" spans="1:6">
      <c r="A8" t="s">
        <v>22</v>
      </c>
      <c r="B8">
        <f>(D2*B4)/100</f>
        <v>20</v>
      </c>
    </row>
    <row r="9" spans="1:6">
      <c r="A9" t="s">
        <v>23</v>
      </c>
      <c r="B9">
        <f>(D2*C4)/100</f>
        <v>30</v>
      </c>
    </row>
    <row r="10" spans="1:6">
      <c r="A10" t="s">
        <v>24</v>
      </c>
      <c r="B10">
        <f>(D3*B4)/100</f>
        <v>20</v>
      </c>
    </row>
    <row r="11" spans="1:6">
      <c r="A11" t="s">
        <v>25</v>
      </c>
      <c r="B11">
        <f>(D3*C4)/100</f>
        <v>30</v>
      </c>
    </row>
    <row r="15" spans="1:6"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31</v>
      </c>
      <c r="B16">
        <v>30</v>
      </c>
      <c r="C16">
        <v>20</v>
      </c>
      <c r="D16">
        <f>B16-C16</f>
        <v>10</v>
      </c>
      <c r="E16">
        <v>100</v>
      </c>
      <c r="F16">
        <v>5</v>
      </c>
    </row>
    <row r="17" spans="1:6">
      <c r="A17" t="s">
        <v>32</v>
      </c>
      <c r="B17">
        <v>20</v>
      </c>
      <c r="C17">
        <v>30</v>
      </c>
      <c r="D17">
        <f t="shared" ref="D17:D19" si="0">B17-C17</f>
        <v>-10</v>
      </c>
      <c r="E17">
        <v>100</v>
      </c>
      <c r="F17">
        <v>3.33</v>
      </c>
    </row>
    <row r="18" spans="1:6">
      <c r="A18" t="s">
        <v>33</v>
      </c>
      <c r="B18">
        <v>10</v>
      </c>
      <c r="C18">
        <v>20</v>
      </c>
      <c r="D18">
        <f t="shared" si="0"/>
        <v>-10</v>
      </c>
      <c r="E18">
        <v>100</v>
      </c>
      <c r="F18">
        <v>5</v>
      </c>
    </row>
    <row r="19" spans="1:6">
      <c r="A19" t="s">
        <v>34</v>
      </c>
      <c r="B19">
        <v>40</v>
      </c>
      <c r="C19">
        <v>30</v>
      </c>
      <c r="D19">
        <f t="shared" si="0"/>
        <v>10</v>
      </c>
      <c r="E19">
        <v>100</v>
      </c>
      <c r="F19">
        <v>3.33</v>
      </c>
    </row>
    <row r="20" spans="1:6">
      <c r="F20" t="s">
        <v>35</v>
      </c>
    </row>
    <row r="22" spans="1:6">
      <c r="D22" t="s">
        <v>36</v>
      </c>
    </row>
    <row r="23" spans="1:6">
      <c r="D23" t="s">
        <v>37</v>
      </c>
    </row>
    <row r="24" spans="1:6">
      <c r="D24" t="s">
        <v>38</v>
      </c>
    </row>
    <row r="26" spans="1:6">
      <c r="D26" t="s">
        <v>39</v>
      </c>
    </row>
    <row r="27" spans="1:6">
      <c r="D27" t="s">
        <v>40</v>
      </c>
    </row>
    <row r="28" spans="1:6">
      <c r="D28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Aryan90 Tyagi</dc:creator>
  <cp:keywords/>
  <dc:description/>
  <cp:lastModifiedBy/>
  <cp:revision/>
  <dcterms:created xsi:type="dcterms:W3CDTF">2026-01-08T10:54:49Z</dcterms:created>
  <dcterms:modified xsi:type="dcterms:W3CDTF">2026-01-18T14:10:28Z</dcterms:modified>
  <cp:category/>
  <cp:contentStatus/>
</cp:coreProperties>
</file>